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7425"/>
  <workbookPr date1904="false"/>
  <bookViews>
    <workbookView xWindow="0" yWindow="0" windowWidth="24000" windowHeight="14000" activeTab="0"/>
  </bookViews>
  <sheets>
    <sheet name="Runs" sheetId="1" r:id="rId1"/>
    <sheet name="Paper" sheetId="2" r:id="rId2"/>
    <sheet name="Summary" sheetId="3" r:id="rId3"/>
  </sheets>
  <calcPr calcId="191029"/>
</workbook>
</file>

<file path=xl/sharedStrings.xml><?xml version="1.0" encoding="utf-8"?>
<sst xmlns="http://schemas.openxmlformats.org/spreadsheetml/2006/main" count="145" uniqueCount="120">
  <si>
    <t xml:space="preserve">Quire Press: press runs and costs, first quarter 2026</t>
  </si>
  <si>
    <t xml:space="preserve">Job code</t>
  </si>
  <si>
    <t xml:space="preserve">Client</t>
  </si>
  <si>
    <t xml:space="preserve">Stock</t>
  </si>
  <si>
    <t xml:space="preserve">Quantity</t>
  </si>
  <si>
    <t xml:space="preserve">Unit cost</t>
  </si>
  <si>
    <t xml:space="preserve">Setup fee</t>
  </si>
  <si>
    <t xml:space="preserve">Total</t>
  </si>
  <si>
    <t xml:space="preserve">Delivered</t>
  </si>
  <si>
    <t xml:space="preserve">Margin</t>
  </si>
  <si>
    <t xml:space="preserve">QP-2601-01</t>
  </si>
  <si>
    <t xml:space="preserve">Thornbury Tea Rooms</t>
  </si>
  <si>
    <t xml:space="preserve">Abbey Cream Wove</t>
  </si>
  <si>
    <t xml:space="preserve">QP-2601-02</t>
  </si>
  <si>
    <t xml:space="preserve">Sable &amp; Ink Bindery</t>
  </si>
  <si>
    <t xml:space="preserve">Hollow Lane Cover</t>
  </si>
  <si>
    <t xml:space="preserve">QP-2601-03</t>
  </si>
  <si>
    <t xml:space="preserve">The Printer's Devil Reading Room</t>
  </si>
  <si>
    <t xml:space="preserve">Fen Laid Text</t>
  </si>
  <si>
    <t xml:space="preserve">QP-2601-04</t>
  </si>
  <si>
    <t xml:space="preserve">Halyard Sail Loft</t>
  </si>
  <si>
    <t xml:space="preserve">Tallow Board</t>
  </si>
  <si>
    <t xml:space="preserve">QP-2601-05</t>
  </si>
  <si>
    <t xml:space="preserve">Winterbourne Orchard</t>
  </si>
  <si>
    <t xml:space="preserve">Quire House Text</t>
  </si>
  <si>
    <t xml:space="preserve">QP-2601-06</t>
  </si>
  <si>
    <t xml:space="preserve">Copperline Coffee</t>
  </si>
  <si>
    <t xml:space="preserve">Ledger Bond</t>
  </si>
  <si>
    <t xml:space="preserve">QP-2601-07</t>
  </si>
  <si>
    <t xml:space="preserve">Melrose Chamber Choir</t>
  </si>
  <si>
    <t xml:space="preserve">Chapel Blue Laid</t>
  </si>
  <si>
    <t xml:space="preserve">QP-2602-01</t>
  </si>
  <si>
    <t xml:space="preserve">Fennel Street Florists</t>
  </si>
  <si>
    <t xml:space="preserve">Riverbank Cotton Rag</t>
  </si>
  <si>
    <t xml:space="preserve">QP-2602-02</t>
  </si>
  <si>
    <t xml:space="preserve">Ashgrove Veterinary</t>
  </si>
  <si>
    <t xml:space="preserve">Marsh Grey Wove</t>
  </si>
  <si>
    <t xml:space="preserve">QP-2602-03</t>
  </si>
  <si>
    <t xml:space="preserve">Bramble Hill Cidery</t>
  </si>
  <si>
    <t xml:space="preserve">Kiln Red Cover</t>
  </si>
  <si>
    <t xml:space="preserve">QP-2602-04</t>
  </si>
  <si>
    <t xml:space="preserve">The Long Room Bookshop</t>
  </si>
  <si>
    <t xml:space="preserve">QP-2602-05</t>
  </si>
  <si>
    <t xml:space="preserve">Norwood Ceramics</t>
  </si>
  <si>
    <t xml:space="preserve">Nightwatch Black</t>
  </si>
  <si>
    <t xml:space="preserve">QP-2602-06</t>
  </si>
  <si>
    <t xml:space="preserve">Estuary Rowing Club</t>
  </si>
  <si>
    <t xml:space="preserve">Sedge Green Wove</t>
  </si>
  <si>
    <t xml:space="preserve">QP-2602-07</t>
  </si>
  <si>
    <t xml:space="preserve">Pallant House Chambers</t>
  </si>
  <si>
    <t xml:space="preserve">QP-2602-08</t>
  </si>
  <si>
    <t xml:space="preserve">Ivywell Garden Society</t>
  </si>
  <si>
    <t xml:space="preserve">QP-2603-01</t>
  </si>
  <si>
    <t xml:space="preserve">Marrow &amp; Vine Kitchen</t>
  </si>
  <si>
    <t xml:space="preserve">QP-2603-02</t>
  </si>
  <si>
    <t xml:space="preserve">Saltmarsh Distillery</t>
  </si>
  <si>
    <t xml:space="preserve">QP-2603-03</t>
  </si>
  <si>
    <t xml:space="preserve">Kestrel Lane Studio</t>
  </si>
  <si>
    <t xml:space="preserve">QP-2603-04</t>
  </si>
  <si>
    <t xml:space="preserve">Bellweather Stationers</t>
  </si>
  <si>
    <t xml:space="preserve">QP-2603-05</t>
  </si>
  <si>
    <t xml:space="preserve">Fold &amp; Gather Workshop</t>
  </si>
  <si>
    <t xml:space="preserve">QP-2603-06</t>
  </si>
  <si>
    <t xml:space="preserve">Ambrose Wine Merchants</t>
  </si>
  <si>
    <t xml:space="preserve">QP-2603-07</t>
  </si>
  <si>
    <t xml:space="preserve">Greylag Press Co-operative</t>
  </si>
  <si>
    <t xml:space="preserve">QP-2603-08</t>
  </si>
  <si>
    <t xml:space="preserve">QP-2603-09</t>
  </si>
  <si>
    <t xml:space="preserve">Little Ouse Sailing Trust</t>
  </si>
  <si>
    <t xml:space="preserve">The paper rack: stocks held at the Mill Street shop, priced by the ream</t>
  </si>
  <si>
    <t xml:space="preserve">Stock name</t>
  </si>
  <si>
    <t xml:space="preserve">Weight (gsm)</t>
  </si>
  <si>
    <t xml:space="preserve">Colour</t>
  </si>
  <si>
    <t xml:space="preserve">Sheets per ream</t>
  </si>
  <si>
    <t xml:space="preserve">Price per ream</t>
  </si>
  <si>
    <t xml:space="preserve">Price per sheet</t>
  </si>
  <si>
    <t xml:space="preserve">Cream</t>
  </si>
  <si>
    <t xml:space="preserve">Oatmeal</t>
  </si>
  <si>
    <t xml:space="preserve">Bone</t>
  </si>
  <si>
    <t xml:space="preserve">Natural white</t>
  </si>
  <si>
    <t xml:space="preserve">Slate</t>
  </si>
  <si>
    <t xml:space="preserve">Grey</t>
  </si>
  <si>
    <t xml:space="preserve">Pale blue</t>
  </si>
  <si>
    <t xml:space="preserve">White</t>
  </si>
  <si>
    <t xml:space="preserve">Ivory</t>
  </si>
  <si>
    <t xml:space="preserve">Terracotta</t>
  </si>
  <si>
    <t xml:space="preserve">Sage</t>
  </si>
  <si>
    <t xml:space="preserve">Black</t>
  </si>
  <si>
    <t xml:space="preserve">What the quarter came to, counted once and then counted again</t>
  </si>
  <si>
    <t xml:space="preserve">Measure</t>
  </si>
  <si>
    <t xml:space="preserve">Value</t>
  </si>
  <si>
    <t xml:space="preserve">Note from the pressroom</t>
  </si>
  <si>
    <t xml:space="preserve">Total invoiced</t>
  </si>
  <si>
    <t xml:space="preserve">Every job on the Runs sheet, setup fees included.</t>
  </si>
  <si>
    <t xml:space="preserve">Jobs on the press</t>
  </si>
  <si>
    <t xml:space="preserve">Counted by job code, so a cancelled run would still show.</t>
  </si>
  <si>
    <t xml:space="preserve">Sheets through the press</t>
  </si>
  <si>
    <t xml:space="preserve">Trimmed sheets, not make ready. Make ready never gets counted.</t>
  </si>
  <si>
    <t xml:space="preserve">Setup fees collected</t>
  </si>
  <si>
    <t xml:space="preserve">The hours before the first good sheet, priced honestly.</t>
  </si>
  <si>
    <t xml:space="preserve">Average margin</t>
  </si>
  <si>
    <t xml:space="preserve">Steadier than last year, which is the whole point of the rate card.</t>
  </si>
  <si>
    <t xml:space="preserve">Largest single run</t>
  </si>
  <si>
    <t xml:space="preserve">Three thousand labels for the garden society, the biggest invoice of the quarter.</t>
  </si>
  <si>
    <t xml:space="preserve">Smallest single run</t>
  </si>
  <si>
    <t xml:space="preserve">A workshop's own stationery, priced kindly. Short runs keep the hand in.</t>
  </si>
  <si>
    <t xml:space="preserve">Average unit cost</t>
  </si>
  <si>
    <t xml:space="preserve">Per sheet, across every stock and every plate.</t>
  </si>
  <si>
    <t xml:space="preserve">Runs delivered</t>
  </si>
  <si>
    <t xml:space="preserve">One job is still on the drying rack, so its date cell sits empty.</t>
  </si>
  <si>
    <t xml:space="preserve">Stocks in the rack</t>
  </si>
  <si>
    <t xml:space="preserve">Twelve is as many as the shop can shelve without warping a sheet.</t>
  </si>
  <si>
    <t xml:space="preserve">Cheapest sheet held</t>
  </si>
  <si>
    <t xml:space="preserve">Ledger bond, bought by the pallet, used for proofs and letters.</t>
  </si>
  <si>
    <t xml:space="preserve">Most used stock</t>
  </si>
  <si>
    <t xml:space="preserve">A cream wove that takes a deep impression and forgives a heavy hand.</t>
  </si>
  <si>
    <t xml:space="preserve">Runs on that stock</t>
  </si>
  <si>
    <t xml:space="preserve">Three jobs, two of them for the same tea rooms on Cobb Street.</t>
  </si>
  <si>
    <t xml:space="preserve">Quarter closed</t>
  </si>
  <si>
    <t xml:space="preserve">Not until the last delivery note comes back signed.</t>
  </si>
</sst>
</file>

<file path=xl/styles.xml><?xml version="1.0" encoding="utf-8"?>
<styleSheet xmlns="http://schemas.openxmlformats.org/spreadsheetml/2006/main">
  <numFmts count="4">
    <numFmt numFmtId="164" formatCode="&quot;£&quot;#,##0.00"/>
    <numFmt numFmtId="165" formatCode="0.0%"/>
    <numFmt numFmtId="166" formatCode="d mmm yyyy"/>
    <numFmt numFmtId="167" formatCode="&quot;£&quot;#,##0.000"/>
  </numFmts>
  <fonts count="4">
    <font>
      <sz val="11"/>
      <color rgb="FF2E2A24"/>
      <name val="Calibri"/>
      <family val="2"/>
    </font>
    <font>
      <b/>
      <sz val="11"/>
      <color rgb="FF3B2F20"/>
      <name val="Calibri"/>
      <family val="2"/>
    </font>
    <font>
      <b/>
      <sz val="14"/>
      <color rgb="FF3B2F20"/>
      <name val="Calibri"/>
      <family val="2"/>
    </font>
    <font>
      <i/>
      <sz val="10"/>
      <color rgb="FF6B615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8E0D4"/>
        <bgColor indexed="64"/>
      </patternFill>
    </fill>
    <fill>
      <patternFill patternType="solid">
        <fgColor rgb="FFF6F1E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9AC9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Fon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3.5" customWidth="1"/>
    <col min="2" max="2" width="34.0" customWidth="1"/>
    <col min="3" max="3" width="24.0" customWidth="1"/>
    <col min="4" max="4" width="10.5" customWidth="1"/>
    <col min="5" max="5" width="11.0" customWidth="1"/>
    <col min="6" max="6" width="11.0" customWidth="1"/>
    <col min="7" max="7" width="13.0" customWidth="1"/>
    <col min="8" max="8" width="15.0" customWidth="1"/>
    <col min="9" max="9" width="9.5" customWidth="1"/>
  </cols>
  <sheetData>
    <row r="1" spans="1:9" ht="28" customHeight="1">
      <c r="A1" s="1" t="s">
        <v>0</v>
      </c>
    </row>
    <row r="2" spans="1:9" ht="24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21.0" customHeight="1">
      <c r="A3" s="3" t="s">
        <v>10</v>
      </c>
      <c r="B3" s="3" t="s">
        <v>11</v>
      </c>
      <c r="C3" s="3" t="s">
        <v>12</v>
      </c>
      <c r="D3" s="4">
        <v>1200</v>
      </c>
      <c r="E3" s="8">
        <v>0.42</v>
      </c>
      <c r="F3" s="5">
        <v>85</v>
      </c>
      <c r="G3" s="5">
        <f>D3*E3+F3</f>
        <v>589</v>
      </c>
      <c r="H3" s="7">
        <v>46031</v>
      </c>
      <c r="I3" s="6">
        <v>0.34</v>
      </c>
    </row>
    <row r="4" spans="1:9">
      <c r="A4" s="3" t="s">
        <v>13</v>
      </c>
      <c r="B4" s="3" t="s">
        <v>14</v>
      </c>
      <c r="C4" s="3" t="s">
        <v>15</v>
      </c>
      <c r="D4" s="4">
        <v>450</v>
      </c>
      <c r="E4" s="8">
        <v>0.96</v>
      </c>
      <c r="F4" s="5">
        <v>120</v>
      </c>
      <c r="G4" s="5">
        <f>D4*E4+F4</f>
        <v>552</v>
      </c>
      <c r="H4" s="7">
        <v>46035</v>
      </c>
      <c r="I4" s="6">
        <v>0.29</v>
      </c>
    </row>
    <row r="5" spans="1:9">
      <c r="A5" s="3" t="s">
        <v>16</v>
      </c>
      <c r="B5" s="3" t="s">
        <v>17</v>
      </c>
      <c r="C5" s="3" t="s">
        <v>18</v>
      </c>
      <c r="D5" s="4">
        <v>2500</v>
      </c>
      <c r="E5" s="8">
        <v>0.31</v>
      </c>
      <c r="F5" s="5">
        <v>95</v>
      </c>
      <c r="G5" s="5">
        <f>D5*E5+F5</f>
        <v>870</v>
      </c>
      <c r="H5" s="7">
        <v>46037</v>
      </c>
      <c r="I5" s="6">
        <v>0.37</v>
      </c>
    </row>
    <row r="6" spans="1:9">
      <c r="A6" s="3" t="s">
        <v>19</v>
      </c>
      <c r="B6" s="3" t="s">
        <v>20</v>
      </c>
      <c r="C6" s="3" t="s">
        <v>21</v>
      </c>
      <c r="D6" s="4">
        <v>300</v>
      </c>
      <c r="E6" s="8">
        <v>1.45</v>
      </c>
      <c r="F6" s="5">
        <v>140</v>
      </c>
      <c r="G6" s="5">
        <f>D6*E6+F6</f>
        <v>575</v>
      </c>
      <c r="H6" s="7">
        <v>46041</v>
      </c>
      <c r="I6" s="6">
        <v>0.26</v>
      </c>
    </row>
    <row r="7" spans="1:9">
      <c r="A7" s="3" t="s">
        <v>22</v>
      </c>
      <c r="B7" s="3" t="s">
        <v>23</v>
      </c>
      <c r="C7" s="3" t="s">
        <v>24</v>
      </c>
      <c r="D7" s="4">
        <v>1800</v>
      </c>
      <c r="E7" s="8">
        <v>0.38</v>
      </c>
      <c r="F7" s="5">
        <v>75</v>
      </c>
      <c r="G7" s="5">
        <f>D7*E7+F7</f>
        <v>759</v>
      </c>
      <c r="H7" s="7">
        <v>46044</v>
      </c>
      <c r="I7" s="6">
        <v>0.33</v>
      </c>
    </row>
    <row r="8" spans="1:9">
      <c r="A8" s="3" t="s">
        <v>25</v>
      </c>
      <c r="B8" s="3" t="s">
        <v>26</v>
      </c>
      <c r="C8" s="3" t="s">
        <v>27</v>
      </c>
      <c r="D8" s="4">
        <v>4000</v>
      </c>
      <c r="E8" s="8">
        <v>0.19</v>
      </c>
      <c r="F8" s="5">
        <v>60</v>
      </c>
      <c r="G8" s="5">
        <f>D8*E8+F8</f>
        <v>820</v>
      </c>
      <c r="H8" s="7">
        <v>46048</v>
      </c>
      <c r="I8" s="6">
        <v>0.41</v>
      </c>
    </row>
    <row r="9" spans="1:9">
      <c r="A9" s="3" t="s">
        <v>28</v>
      </c>
      <c r="B9" s="3" t="s">
        <v>29</v>
      </c>
      <c r="C9" s="3" t="s">
        <v>30</v>
      </c>
      <c r="D9" s="4">
        <v>900</v>
      </c>
      <c r="E9" s="8">
        <v>0.44</v>
      </c>
      <c r="F9" s="5">
        <v>110</v>
      </c>
      <c r="G9" s="5">
        <f>D9*E9+F9</f>
        <v>506</v>
      </c>
      <c r="H9" s="7">
        <v>46051</v>
      </c>
      <c r="I9" s="6">
        <v>0.31</v>
      </c>
    </row>
    <row r="10" spans="1:9">
      <c r="A10" s="3" t="s">
        <v>31</v>
      </c>
      <c r="B10" s="3" t="s">
        <v>32</v>
      </c>
      <c r="C10" s="3" t="s">
        <v>33</v>
      </c>
      <c r="D10" s="4">
        <v>240</v>
      </c>
      <c r="E10" s="8">
        <v>1.85</v>
      </c>
      <c r="F10" s="5">
        <v>165</v>
      </c>
      <c r="G10" s="5">
        <f>D10*E10+F10</f>
        <v>609</v>
      </c>
      <c r="H10" s="7">
        <v>46056</v>
      </c>
      <c r="I10" s="6">
        <v>0.24</v>
      </c>
    </row>
    <row r="11" spans="1:9">
      <c r="A11" s="3" t="s">
        <v>34</v>
      </c>
      <c r="B11" s="3" t="s">
        <v>35</v>
      </c>
      <c r="C11" s="3" t="s">
        <v>36</v>
      </c>
      <c r="D11" s="4">
        <v>1500</v>
      </c>
      <c r="E11" s="8">
        <v>0.35</v>
      </c>
      <c r="F11" s="5">
        <v>70</v>
      </c>
      <c r="G11" s="5">
        <f>D11*E11+F11</f>
        <v>595</v>
      </c>
      <c r="H11" s="7">
        <v>46058</v>
      </c>
      <c r="I11" s="6">
        <v>0.35</v>
      </c>
    </row>
    <row r="12" spans="1:9">
      <c r="A12" s="3" t="s">
        <v>37</v>
      </c>
      <c r="B12" s="3" t="s">
        <v>38</v>
      </c>
      <c r="C12" s="3" t="s">
        <v>39</v>
      </c>
      <c r="D12" s="4">
        <v>600</v>
      </c>
      <c r="E12" s="8">
        <v>0.78</v>
      </c>
      <c r="F12" s="5">
        <v>130</v>
      </c>
      <c r="G12" s="5">
        <f>D12*E12+F12</f>
        <v>598</v>
      </c>
      <c r="H12" s="7">
        <v>46063</v>
      </c>
      <c r="I12" s="6">
        <v>0.28</v>
      </c>
    </row>
    <row r="13" spans="1:9">
      <c r="A13" s="3" t="s">
        <v>40</v>
      </c>
      <c r="B13" s="3" t="s">
        <v>41</v>
      </c>
      <c r="C13" s="3" t="s">
        <v>12</v>
      </c>
      <c r="D13" s="4">
        <v>2200</v>
      </c>
      <c r="E13" s="8">
        <v>0.33</v>
      </c>
      <c r="F13" s="5">
        <v>90</v>
      </c>
      <c r="G13" s="5">
        <f>D13*E13+F13</f>
        <v>816</v>
      </c>
      <c r="H13" s="7">
        <v>46065</v>
      </c>
      <c r="I13" s="6">
        <v>0.36</v>
      </c>
    </row>
    <row r="14" spans="1:9">
      <c r="A14" s="3" t="s">
        <v>42</v>
      </c>
      <c r="B14" s="3" t="s">
        <v>43</v>
      </c>
      <c r="C14" s="3" t="s">
        <v>44</v>
      </c>
      <c r="D14" s="4">
        <v>350</v>
      </c>
      <c r="E14" s="8">
        <v>1.62</v>
      </c>
      <c r="F14" s="5">
        <v>155</v>
      </c>
      <c r="G14" s="5">
        <f>D14*E14+F14</f>
        <v>722</v>
      </c>
      <c r="H14" s="7">
        <v>46070</v>
      </c>
      <c r="I14" s="6">
        <v>0.22</v>
      </c>
    </row>
    <row r="15" spans="1:9">
      <c r="A15" s="3" t="s">
        <v>45</v>
      </c>
      <c r="B15" s="3" t="s">
        <v>46</v>
      </c>
      <c r="C15" s="3" t="s">
        <v>47</v>
      </c>
      <c r="D15" s="4">
        <v>1100</v>
      </c>
      <c r="E15" s="8">
        <v>0.37</v>
      </c>
      <c r="F15" s="5">
        <v>80</v>
      </c>
      <c r="G15" s="5">
        <f>D15*E15+F15</f>
        <v>487</v>
      </c>
      <c r="H15" s="7">
        <v>46072</v>
      </c>
      <c r="I15" s="6">
        <v>0.32</v>
      </c>
    </row>
    <row r="16" spans="1:9">
      <c r="A16" s="3" t="s">
        <v>48</v>
      </c>
      <c r="B16" s="3" t="s">
        <v>49</v>
      </c>
      <c r="C16" s="3" t="s">
        <v>33</v>
      </c>
      <c r="D16" s="4">
        <v>180</v>
      </c>
      <c r="E16" s="8">
        <v>2.1</v>
      </c>
      <c r="F16" s="5">
        <v>180</v>
      </c>
      <c r="G16" s="5">
        <f>D16*E16+F16</f>
        <v>558</v>
      </c>
      <c r="H16" s="7">
        <v>46077</v>
      </c>
      <c r="I16" s="6">
        <v>0.21</v>
      </c>
    </row>
    <row r="17" spans="1:9">
      <c r="A17" s="3" t="s">
        <v>50</v>
      </c>
      <c r="B17" s="3" t="s">
        <v>51</v>
      </c>
      <c r="C17" s="3" t="s">
        <v>18</v>
      </c>
      <c r="D17" s="4">
        <v>3000</v>
      </c>
      <c r="E17" s="8">
        <v>0.28</v>
      </c>
      <c r="F17" s="5">
        <v>65</v>
      </c>
      <c r="G17" s="5">
        <f>D17*E17+F17</f>
        <v>905</v>
      </c>
      <c r="H17" s="7">
        <v>46079</v>
      </c>
      <c r="I17" s="6">
        <v>0.39</v>
      </c>
    </row>
    <row r="18" spans="1:9">
      <c r="A18" s="3" t="s">
        <v>52</v>
      </c>
      <c r="B18" s="3" t="s">
        <v>53</v>
      </c>
      <c r="C18" s="3" t="s">
        <v>15</v>
      </c>
      <c r="D18" s="4">
        <v>520</v>
      </c>
      <c r="E18" s="8">
        <v>0.92</v>
      </c>
      <c r="F18" s="5">
        <v>125</v>
      </c>
      <c r="G18" s="5">
        <f>D18*E18+F18</f>
        <v>603.4</v>
      </c>
      <c r="H18" s="7">
        <v>46084</v>
      </c>
      <c r="I18" s="6">
        <v>0.3</v>
      </c>
    </row>
    <row r="19" spans="1:9">
      <c r="A19" s="3" t="s">
        <v>54</v>
      </c>
      <c r="B19" s="3" t="s">
        <v>55</v>
      </c>
      <c r="C19" s="3" t="s">
        <v>21</v>
      </c>
      <c r="D19" s="4">
        <v>420</v>
      </c>
      <c r="E19" s="8">
        <v>1.38</v>
      </c>
      <c r="F19" s="5">
        <v>145</v>
      </c>
      <c r="G19" s="5">
        <f>D19*E19+F19</f>
        <v>724.6</v>
      </c>
      <c r="H19" s="7">
        <v>46086</v>
      </c>
      <c r="I19" s="6">
        <v>0.25</v>
      </c>
    </row>
    <row r="20" spans="1:9">
      <c r="A20" s="3" t="s">
        <v>56</v>
      </c>
      <c r="B20" s="3" t="s">
        <v>57</v>
      </c>
      <c r="C20" s="3" t="s">
        <v>24</v>
      </c>
      <c r="D20" s="4">
        <v>1350</v>
      </c>
      <c r="E20" s="8">
        <v>0.41</v>
      </c>
      <c r="F20" s="5">
        <v>85</v>
      </c>
      <c r="G20" s="5">
        <f>D20*E20+F20</f>
        <v>638.5</v>
      </c>
      <c r="H20" s="7">
        <v>46091</v>
      </c>
      <c r="I20" s="6">
        <v>0.33</v>
      </c>
    </row>
    <row r="21" spans="1:9">
      <c r="A21" s="3" t="s">
        <v>58</v>
      </c>
      <c r="B21" s="3" t="s">
        <v>59</v>
      </c>
      <c r="C21" s="3" t="s">
        <v>27</v>
      </c>
      <c r="D21" s="4">
        <v>3600</v>
      </c>
      <c r="E21" s="8">
        <v>0.21</v>
      </c>
      <c r="F21" s="5">
        <v>55</v>
      </c>
      <c r="G21" s="5">
        <f>D21*E21+F21</f>
        <v>811</v>
      </c>
      <c r="H21" s="7">
        <v>46093</v>
      </c>
      <c r="I21" s="6">
        <v>0.4</v>
      </c>
    </row>
    <row r="22" spans="1:9">
      <c r="A22" s="3" t="s">
        <v>60</v>
      </c>
      <c r="B22" s="3" t="s">
        <v>61</v>
      </c>
      <c r="C22" s="3" t="s">
        <v>30</v>
      </c>
      <c r="D22" s="4">
        <v>760</v>
      </c>
      <c r="E22" s="8">
        <v>0.46</v>
      </c>
      <c r="F22" s="5">
        <v>105</v>
      </c>
      <c r="G22" s="5">
        <f>D22*E22+F22</f>
        <v>454.6</v>
      </c>
      <c r="H22" s="7">
        <v>46098</v>
      </c>
      <c r="I22" s="6">
        <v>0.3</v>
      </c>
    </row>
    <row r="23" spans="1:9">
      <c r="A23" s="3" t="s">
        <v>62</v>
      </c>
      <c r="B23" s="3" t="s">
        <v>63</v>
      </c>
      <c r="C23" s="3" t="s">
        <v>39</v>
      </c>
      <c r="D23" s="4">
        <v>680</v>
      </c>
      <c r="E23" s="8">
        <v>0.74</v>
      </c>
      <c r="F23" s="5">
        <v>135</v>
      </c>
      <c r="G23" s="5">
        <f>D23*E23+F23</f>
        <v>638.2</v>
      </c>
      <c r="H23" s="7">
        <v>46100</v>
      </c>
      <c r="I23" s="6">
        <v>0.27</v>
      </c>
    </row>
    <row r="24" spans="1:9">
      <c r="A24" s="3" t="s">
        <v>64</v>
      </c>
      <c r="B24" s="3" t="s">
        <v>65</v>
      </c>
      <c r="C24" s="3" t="s">
        <v>36</v>
      </c>
      <c r="D24" s="4">
        <v>1650</v>
      </c>
      <c r="E24" s="8">
        <v>0.36</v>
      </c>
      <c r="F24" s="5">
        <v>75</v>
      </c>
      <c r="G24" s="5">
        <f>D24*E24+F24</f>
        <v>669</v>
      </c>
      <c r="H24" s="7">
        <v>46105</v>
      </c>
      <c r="I24" s="6">
        <v>0.34</v>
      </c>
    </row>
    <row r="25" spans="1:9">
      <c r="A25" s="3" t="s">
        <v>66</v>
      </c>
      <c r="B25" s="3" t="s">
        <v>11</v>
      </c>
      <c r="C25" s="3" t="s">
        <v>12</v>
      </c>
      <c r="D25" s="4">
        <v>1400</v>
      </c>
      <c r="E25" s="8">
        <v>0.4</v>
      </c>
      <c r="F25" s="5">
        <v>85</v>
      </c>
      <c r="G25" s="5">
        <f>D25*E25+F25</f>
        <v>645</v>
      </c>
      <c r="I25" s="6">
        <v>0.35</v>
      </c>
    </row>
    <row r="26" spans="1:9">
      <c r="A26" s="3" t="s">
        <v>67</v>
      </c>
      <c r="B26" s="3" t="s">
        <v>68</v>
      </c>
      <c r="C26" s="3" t="s">
        <v>47</v>
      </c>
      <c r="D26" s="4">
        <v>950</v>
      </c>
      <c r="E26" s="8">
        <v>0.39</v>
      </c>
      <c r="F26" s="5">
        <v>95</v>
      </c>
      <c r="G26" s="5">
        <f>D26*E26+F26</f>
        <v>465.5</v>
      </c>
      <c r="H26" s="7">
        <v>46107</v>
      </c>
      <c r="I26" s="6">
        <v>0.31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6.0" customWidth="1"/>
    <col min="2" max="2" width="13.5" customWidth="1"/>
    <col min="3" max="3" width="15.0" customWidth="1"/>
    <col min="4" max="4" width="17.0" customWidth="1"/>
    <col min="5" max="5" width="15.5" customWidth="1"/>
    <col min="6" max="6" width="16.0" customWidth="1"/>
  </cols>
  <sheetData>
    <row r="1" spans="1:6" ht="28" customHeight="1">
      <c r="A1" s="1" t="s">
        <v>69</v>
      </c>
    </row>
    <row r="2" spans="1:6" ht="24" customHeight="1">
      <c r="A2" s="2" t="s">
        <v>70</v>
      </c>
      <c r="B2" s="2" t="s">
        <v>71</v>
      </c>
      <c r="C2" s="2" t="s">
        <v>72</v>
      </c>
      <c r="D2" s="2" t="s">
        <v>73</v>
      </c>
      <c r="E2" s="2" t="s">
        <v>74</v>
      </c>
      <c r="F2" s="2" t="s">
        <v>75</v>
      </c>
    </row>
    <row r="3" spans="1:6">
      <c r="A3" s="3" t="s">
        <v>12</v>
      </c>
      <c r="B3" s="4">
        <v>120</v>
      </c>
      <c r="C3" s="3" t="s">
        <v>76</v>
      </c>
      <c r="D3" s="4">
        <v>500</v>
      </c>
      <c r="E3" s="5">
        <v>62.5</v>
      </c>
      <c r="F3" s="8">
        <f>E3/D3</f>
        <v>0.125</v>
      </c>
    </row>
    <row r="4" spans="1:6">
      <c r="A4" s="3" t="s">
        <v>18</v>
      </c>
      <c r="B4" s="4">
        <v>90</v>
      </c>
      <c r="C4" s="3" t="s">
        <v>77</v>
      </c>
      <c r="D4" s="4">
        <v>500</v>
      </c>
      <c r="E4" s="5">
        <v>47.5</v>
      </c>
      <c r="F4" s="8">
        <f>E4/D4</f>
        <v>0.095</v>
      </c>
    </row>
    <row r="5" spans="1:6">
      <c r="A5" s="3" t="s">
        <v>15</v>
      </c>
      <c r="B5" s="4">
        <v>250</v>
      </c>
      <c r="C5" s="3" t="s">
        <v>78</v>
      </c>
      <c r="D5" s="4">
        <v>250</v>
      </c>
      <c r="E5" s="5">
        <v>70</v>
      </c>
      <c r="F5" s="8">
        <f>E5/D5</f>
        <v>0.28</v>
      </c>
    </row>
    <row r="6" spans="1:6">
      <c r="A6" s="3" t="s">
        <v>33</v>
      </c>
      <c r="B6" s="4">
        <v>300</v>
      </c>
      <c r="C6" s="3" t="s">
        <v>79</v>
      </c>
      <c r="D6" s="4">
        <v>100</v>
      </c>
      <c r="E6" s="5">
        <v>46</v>
      </c>
      <c r="F6" s="8">
        <f>E6/D6</f>
        <v>0.46</v>
      </c>
    </row>
    <row r="7" spans="1:6">
      <c r="A7" s="3" t="s">
        <v>21</v>
      </c>
      <c r="B7" s="4">
        <v>400</v>
      </c>
      <c r="C7" s="3" t="s">
        <v>80</v>
      </c>
      <c r="D7" s="4">
        <v>100</v>
      </c>
      <c r="E7" s="5">
        <v>58</v>
      </c>
      <c r="F7" s="8">
        <f>E7/D7</f>
        <v>0.58</v>
      </c>
    </row>
    <row r="8" spans="1:6">
      <c r="A8" s="3" t="s">
        <v>36</v>
      </c>
      <c r="B8" s="4">
        <v>110</v>
      </c>
      <c r="C8" s="3" t="s">
        <v>81</v>
      </c>
      <c r="D8" s="4">
        <v>500</v>
      </c>
      <c r="E8" s="5">
        <v>55</v>
      </c>
      <c r="F8" s="8">
        <f>E8/D8</f>
        <v>0.11</v>
      </c>
    </row>
    <row r="9" spans="1:6">
      <c r="A9" s="3" t="s">
        <v>30</v>
      </c>
      <c r="B9" s="4">
        <v>100</v>
      </c>
      <c r="C9" s="3" t="s">
        <v>82</v>
      </c>
      <c r="D9" s="4">
        <v>500</v>
      </c>
      <c r="E9" s="5">
        <v>60</v>
      </c>
      <c r="F9" s="8">
        <f>E9/D9</f>
        <v>0.12</v>
      </c>
    </row>
    <row r="10" spans="1:6">
      <c r="A10" s="3" t="s">
        <v>27</v>
      </c>
      <c r="B10" s="4">
        <v>80</v>
      </c>
      <c r="C10" s="3" t="s">
        <v>83</v>
      </c>
      <c r="D10" s="4">
        <v>500</v>
      </c>
      <c r="E10" s="5">
        <v>37.5</v>
      </c>
      <c r="F10" s="8">
        <f>E10/D10</f>
        <v>0.075</v>
      </c>
    </row>
    <row r="11" spans="1:6">
      <c r="A11" s="3" t="s">
        <v>24</v>
      </c>
      <c r="B11" s="4">
        <v>135</v>
      </c>
      <c r="C11" s="3" t="s">
        <v>84</v>
      </c>
      <c r="D11" s="4">
        <v>250</v>
      </c>
      <c r="E11" s="5">
        <v>41.25</v>
      </c>
      <c r="F11" s="8">
        <f>E11/D11</f>
        <v>0.165</v>
      </c>
    </row>
    <row r="12" spans="1:6">
      <c r="A12" s="3" t="s">
        <v>39</v>
      </c>
      <c r="B12" s="4">
        <v>270</v>
      </c>
      <c r="C12" s="3" t="s">
        <v>85</v>
      </c>
      <c r="D12" s="4">
        <v>125</v>
      </c>
      <c r="E12" s="5">
        <v>43.75</v>
      </c>
      <c r="F12" s="8">
        <f>E12/D12</f>
        <v>0.35</v>
      </c>
    </row>
    <row r="13" spans="1:6">
      <c r="A13" s="3" t="s">
        <v>47</v>
      </c>
      <c r="B13" s="4">
        <v>115</v>
      </c>
      <c r="C13" s="3" t="s">
        <v>86</v>
      </c>
      <c r="D13" s="4">
        <v>500</v>
      </c>
      <c r="E13" s="5">
        <v>57.5</v>
      </c>
      <c r="F13" s="8">
        <f>E13/D13</f>
        <v>0.115</v>
      </c>
    </row>
    <row r="14" spans="1:6">
      <c r="A14" s="3" t="s">
        <v>44</v>
      </c>
      <c r="B14" s="4">
        <v>300</v>
      </c>
      <c r="C14" s="3" t="s">
        <v>87</v>
      </c>
      <c r="D14" s="4">
        <v>100</v>
      </c>
      <c r="E14" s="5">
        <v>52</v>
      </c>
      <c r="F14" s="8">
        <f>E14/D14</f>
        <v>0.52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selection activeCell="A3" sqref="A3"/>
    </sheetView>
  </sheetViews>
  <sheetFormatPr defaultRowHeight="15"/>
  <cols>
    <col min="1" max="1" width="26.0" customWidth="1"/>
    <col min="2" max="2" width="16.0" customWidth="1"/>
    <col min="3" max="3" width="62.0" customWidth="1"/>
  </cols>
  <sheetData>
    <row r="1" spans="1:3" ht="28" customHeight="1">
      <c r="A1" s="1" t="s">
        <v>88</v>
      </c>
    </row>
    <row r="2" spans="1:3" ht="24" customHeight="1">
      <c r="A2" s="2" t="s">
        <v>89</v>
      </c>
      <c r="B2" s="2" t="s">
        <v>90</v>
      </c>
      <c r="C2" s="2" t="s">
        <v>91</v>
      </c>
    </row>
    <row r="3" spans="1:3">
      <c r="A3" s="9" t="s">
        <v>92</v>
      </c>
      <c r="B3" s="5">
        <f>SUM(Runs!G3:G26)</f>
        <v>15610.8</v>
      </c>
      <c r="C3" s="10" t="s">
        <v>93</v>
      </c>
    </row>
    <row r="4" spans="1:3">
      <c r="A4" s="9" t="s">
        <v>94</v>
      </c>
      <c r="B4" s="4">
        <f>COUNTA(Runs!A3:A26)</f>
        <v>24</v>
      </c>
      <c r="C4" s="10" t="s">
        <v>95</v>
      </c>
    </row>
    <row r="5" spans="1:3">
      <c r="A5" s="9" t="s">
        <v>96</v>
      </c>
      <c r="B5" s="4">
        <f>SUM(Runs!D3:D26)</f>
        <v>31650</v>
      </c>
      <c r="C5" s="10" t="s">
        <v>97</v>
      </c>
    </row>
    <row r="6" spans="1:3">
      <c r="A6" s="9" t="s">
        <v>98</v>
      </c>
      <c r="B6" s="5">
        <f>SUM(Runs!F3:F26)</f>
        <v>2525</v>
      </c>
      <c r="C6" s="10" t="s">
        <v>99</v>
      </c>
    </row>
    <row r="7" spans="1:3">
      <c r="A7" s="9" t="s">
        <v>100</v>
      </c>
      <c r="B7" s="6">
        <f>AVERAGE(Runs!I3:I26)</f>
        <v>0.31375</v>
      </c>
      <c r="C7" s="10" t="s">
        <v>101</v>
      </c>
    </row>
    <row r="8" spans="1:3">
      <c r="A8" s="9" t="s">
        <v>102</v>
      </c>
      <c r="B8" s="5">
        <f>MAX(Runs!G3:G26)</f>
        <v>905</v>
      </c>
      <c r="C8" s="10" t="s">
        <v>103</v>
      </c>
    </row>
    <row r="9" spans="1:3">
      <c r="A9" s="9" t="s">
        <v>104</v>
      </c>
      <c r="B9" s="5">
        <f>MIN(Runs!G3:G26)</f>
        <v>454.6</v>
      </c>
      <c r="C9" s="10" t="s">
        <v>105</v>
      </c>
    </row>
    <row r="10" spans="1:3">
      <c r="A10" s="9" t="s">
        <v>106</v>
      </c>
      <c r="B10" s="8">
        <f>AVERAGE(Runs!E3:E26)</f>
        <v>0.7125</v>
      </c>
      <c r="C10" s="10" t="s">
        <v>107</v>
      </c>
    </row>
    <row r="11" spans="1:3">
      <c r="A11" s="9" t="s">
        <v>108</v>
      </c>
      <c r="B11" s="4">
        <f>COUNT(Runs!H3:H26)</f>
        <v>23</v>
      </c>
      <c r="C11" s="10" t="s">
        <v>109</v>
      </c>
    </row>
    <row r="12" spans="1:3">
      <c r="A12" s="9" t="s">
        <v>110</v>
      </c>
      <c r="B12" s="4">
        <f>COUNTA(Paper!A3:A14)</f>
        <v>12</v>
      </c>
      <c r="C12" s="10" t="s">
        <v>111</v>
      </c>
    </row>
    <row r="13" spans="1:3">
      <c r="A13" s="9" t="s">
        <v>112</v>
      </c>
      <c r="B13" s="8">
        <f>MIN(Paper!F3:F14)</f>
        <v>0.075</v>
      </c>
      <c r="C13" s="10" t="s">
        <v>113</v>
      </c>
    </row>
    <row r="14" spans="1:3">
      <c r="A14" s="9" t="s">
        <v>114</v>
      </c>
      <c r="B14" s="3" t="str">
        <f>INDEX(Paper!A3:A14,1)</f>
        <v>Abbey Cream Wove</v>
      </c>
      <c r="C14" s="10" t="s">
        <v>115</v>
      </c>
    </row>
    <row r="15" spans="1:3">
      <c r="A15" s="9" t="s">
        <v>116</v>
      </c>
      <c r="B15" s="4">
        <f>COUNTIF(Runs!C3:C26,Paper!A3)</f>
        <v>3</v>
      </c>
      <c r="C15" s="10" t="s">
        <v>117</v>
      </c>
    </row>
    <row r="16" spans="1:3">
      <c r="A16" s="9" t="s">
        <v>118</v>
      </c>
      <c r="B16" s="0" t="b">
        <v>0</v>
      </c>
      <c r="C16" s="10" t="s">
        <v>119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Quire Press pressroom books</Application>
  <Company>Quire Press</Compan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Runs</vt:lpstr>
      <vt:lpstr>Paper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Press run costs, first quarter 2026</dc:title>
  <dc:subject>Costing for the Quire Press pressroom</dc:subject>
  <dc:creator>Quire Press</dc:creator>
  <cp:lastModifiedBy>Quire Press</cp:lastModifiedBy>
  <dcterms:created xsi:type="dcterms:W3CDTF">2026-01-06T09:00:00Z</dcterms:created>
  <dcterms:modified xsi:type="dcterms:W3CDTF">2026-01-06T09:00:00Z</dcterms:modified>
</cp:coreProperties>
</file>